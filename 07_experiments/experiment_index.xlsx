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9060"/>
  </bookViews>
  <sheets>
    <sheet name="总览" sheetId="1" r:id="rId1"/>
    <sheet name="Experiment_Index" sheetId="2" r:id="rId2"/>
    <sheet name="字段说明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<sst xmlns="http://schemas.openxmlformats.org/spreadsheetml/2006/main" count="504" uniqueCount="363">
  <si>
    <t>论文实验总览 / Experiment Dashboard</t>
  </si>
  <si>
    <t>Total Experiments</t>
  </si>
  <si>
    <t>Stage</t>
  </si>
  <si>
    <t>Stage Name</t>
  </si>
  <si>
    <t>Total</t>
  </si>
  <si>
    <t>Done</t>
  </si>
  <si>
    <t>In Progress</t>
  </si>
  <si>
    <t>Not Started</t>
  </si>
  <si>
    <t>Blocked</t>
  </si>
  <si>
    <t>Completion</t>
  </si>
  <si>
    <t>环境与最小闭环</t>
  </si>
  <si>
    <t>YOLO baseline + 信息熵裁剪</t>
  </si>
  <si>
    <t>HLS核心算子流式重构</t>
  </si>
  <si>
    <t>Critical</t>
  </si>
  <si>
    <t>消融 + Pareto + SOTA</t>
  </si>
  <si>
    <t>Completion Rate</t>
  </si>
  <si>
    <t>论文证据包</t>
  </si>
  <si>
    <t>近期执行顺序（按论文证据链，不按兴趣）</t>
  </si>
  <si>
    <t>Order</t>
  </si>
  <si>
    <t>Experiment</t>
  </si>
  <si>
    <t>必须完成的判断标准</t>
  </si>
  <si>
    <t>输出位置</t>
  </si>
  <si>
    <t>是否论文正式证据</t>
  </si>
  <si>
    <t>风险</t>
  </si>
  <si>
    <t>exp00_cpp_python_conv_check</t>
  </si>
  <si>
    <t>MSE &lt; 1e-15 或明确解释误差来源</t>
  </si>
  <si>
    <t>07_experiments/stage0...</t>
  </si>
  <si>
    <t>间接证据</t>
  </si>
  <si>
    <t>低</t>
  </si>
  <si>
    <t>exp02_hls_matrix_demo</t>
  </si>
  <si>
    <t>C Sim / C Synthesis / Cosim 至少前两项通过</t>
  </si>
  <si>
    <t>08_results/hls_reports/</t>
  </si>
  <si>
    <t>工具链证据</t>
  </si>
  <si>
    <t>中</t>
  </si>
  <si>
    <t>exp10_yolo_baseline_100epochs</t>
  </si>
  <si>
    <t>正式100 epochs训练，固定seed与配置</t>
  </si>
  <si>
    <t>stage1/exp10...</t>
  </si>
  <si>
    <t>正式证据</t>
  </si>
  <si>
    <t>高</t>
  </si>
  <si>
    <t>exp12_entropy_score_calculation</t>
  </si>
  <si>
    <t>每个分支有熵值、排序、阈值</t>
  </si>
  <si>
    <t>08_results/tables_raw/</t>
  </si>
  <si>
    <t>核心方法证据</t>
  </si>
  <si>
    <t>exp16_golden_data_export</t>
  </si>
  <si>
    <t>golden_input/output/weights有shape和checksum</t>
  </si>
  <si>
    <t>05_golden_data/</t>
  </si>
  <si>
    <t>HLS验证证据</t>
  </si>
  <si>
    <t>exp23_concat_conv_csim</t>
  </si>
  <si>
    <t>C++输出与golden_output逐元素对齐</t>
  </si>
  <si>
    <t>stage2/exp23...</t>
  </si>
  <si>
    <t>硬件正确性证据</t>
  </si>
  <si>
    <t>Stage Folder</t>
  </si>
  <si>
    <t>Exp ID</t>
  </si>
  <si>
    <t>Experiment Folder</t>
  </si>
  <si>
    <t>中文名称</t>
  </si>
  <si>
    <t>Purpose</t>
  </si>
  <si>
    <t>Start Date</t>
  </si>
  <si>
    <t>Due Date</t>
  </si>
  <si>
    <t>Status</t>
  </si>
  <si>
    <t>Priority</t>
  </si>
  <si>
    <t>Owner</t>
  </si>
  <si>
    <t>Input / Dependency</t>
  </si>
  <si>
    <t>Core Operation</t>
  </si>
  <si>
    <t>Expected Output</t>
  </si>
  <si>
    <t>Key Metrics</t>
  </si>
  <si>
    <t>Result Folder</t>
  </si>
  <si>
    <t>Paper Evidence</t>
  </si>
  <si>
    <t>Notes</t>
  </si>
  <si>
    <t>stage0_environment_validation</t>
  </si>
  <si>
    <t>exp00</t>
  </si>
  <si>
    <t>C++/Python 3×3卷积对齐</t>
  </si>
  <si>
    <t>验证纯C++卷积与Python reference逐元素一致，建立算法到硬件前的最小可信闭环。</t>
  </si>
  <si>
    <t>High</t>
  </si>
  <si>
    <t/>
  </si>
  <si>
    <t>Python reference；C++ conv；small matrix input</t>
  </si>
  <si>
    <t>打印逐元素输出；计算MSE；固定输入矩阵和权重</t>
  </si>
  <si>
    <t>cpp_output.txt；python_output.txt；mse_log.txt；README.md</t>
  </si>
  <si>
    <t>MSE；max_abs_error；是否逐元素一致</t>
  </si>
  <si>
    <t>08_results/logs/</t>
  </si>
  <si>
    <t>Chapter 4 §4.1 Experimental Setup</t>
  </si>
  <si>
    <t>Day4实验应归入这里。</t>
  </si>
  <si>
    <t>exp01</t>
  </si>
  <si>
    <t>exp01_yolo_training_smoke_test_epochs3</t>
  </si>
  <si>
    <t>YOLO训练流程冒烟测试</t>
  </si>
  <si>
    <t>验证NEU-DET-YOLO数据格式、Ultralytics训练命令和环境可用性；不作为正式baseline。</t>
  </si>
  <si>
    <t>NEU-DET-YOLO；yolov8n.pt</t>
  </si>
  <si>
    <t>训练3 epochs；检查results.csv、weights、labels路径</t>
  </si>
  <si>
    <t>best.pt；last.pt；results.csv；results.png；confusion_matrix.png</t>
  </si>
  <si>
    <t>mAP@0.5；loss趋势；是否正常生成权重</t>
  </si>
  <si>
    <t>07_experiments/stage0_environment_validation/exp01_yolo_training_smoke_test_epochs3_20260630/</t>
  </si>
  <si>
    <t>Not for paper baseline</t>
  </si>
  <si>
    <t>已有 yolo_fpga_exp_epochs3，可复制归档，不建议作为正式baseline。</t>
  </si>
  <si>
    <t>exp02</t>
  </si>
  <si>
    <t>HLS官方矩阵乘法Demo</t>
  </si>
  <si>
    <t>验证Vitis/Vivado HLS工具链、C Synthesis和C/RTL Cosimulation路径可用。</t>
  </si>
  <si>
    <t>Vivado/Vitis HLS demo project</t>
  </si>
  <si>
    <t>运行C Simulation、C Synthesis、C/RTL Cosim</t>
  </si>
  <si>
    <t>csim.log；csynth.rpt；cosim.log；tool_version.md</t>
  </si>
  <si>
    <t>C Sim pass；C Synthesis pass；Cosim pass；target frequency</t>
  </si>
  <si>
    <t>若Cosim失败，需记录报错原因。</t>
  </si>
  <si>
    <t>stage1_algorithm_baseline_pruning</t>
  </si>
  <si>
    <t>exp10</t>
  </si>
  <si>
    <t>正式YOLOv8n Baseline训练</t>
  </si>
  <si>
    <t>建立NEU-DET上的正式检测基线，后续所有裁剪实验以此为参照。</t>
  </si>
  <si>
    <t>NEU-DET-YOLO；yolov8n.pt；data.yaml</t>
  </si>
  <si>
    <t>训练100 epochs；固定batch、imgsz、seed；保存完整日志</t>
  </si>
  <si>
    <t>best.pt；last.pt；results.csv；train_args.yaml；baseline_summary.md</t>
  </si>
  <si>
    <t>mAP@0.5；mAP@0.5:0.95；Params；FLOPs；Latency</t>
  </si>
  <si>
    <t>07_experiments/stage1_algorithm_baseline_pruning/exp10_yolo_baseline_100epochs/</t>
  </si>
  <si>
    <t>Table 2 baseline；Chapter 4 §4.2</t>
  </si>
  <si>
    <t>必须固定seed和训练配置。</t>
  </si>
  <si>
    <t>exp11</t>
  </si>
  <si>
    <t>exp11_feature_map_hook</t>
  </si>
  <si>
    <t>FPN/PAN特征图Hook提取</t>
  </si>
  <si>
    <t>定位YOLO Neck关键融合层，提取跳连分支Feature Map，为信息熵计算提供输入。</t>
  </si>
  <si>
    <t>exp10 best.pt；validation images；hook script</t>
  </si>
  <si>
    <t>注册forward hook；保存各分支tensor统计信息</t>
  </si>
  <si>
    <t>feature_map_shapes.csv；sample_tensors.npy；hook_log.md</t>
  </si>
  <si>
    <t>layer name；C/H/W；tensor range；extraction success</t>
  </si>
  <si>
    <t>08_results/metrics/</t>
  </si>
  <si>
    <t>Figure 2；Methodology §3.2</t>
  </si>
  <si>
    <t>不要直接保存过多npy，优先保存统计量。</t>
  </si>
  <si>
    <t>exp12</t>
  </si>
  <si>
    <t>信息熵分支贡献度计算</t>
  </si>
  <si>
    <t>按通道直方图估计空间信息熵，得到每条FPN跳连分支的信息量排序。</t>
  </si>
  <si>
    <t>exp11 feature maps</t>
  </si>
  <si>
    <t>归一化到[0,1]；256-bin直方图；逐通道熵；分支均值</t>
  </si>
  <si>
    <t>entropy_scores.csv；branch_ranking.xlsx；entropy_formula_note.md</t>
  </si>
  <si>
    <t>mean_entropy；std_entropy；branch rank；selected prune threshold</t>
  </si>
  <si>
    <t>Algorithm 1；Formula (1)-(3)；Table 2</t>
  </si>
  <si>
    <t>记录epsilon、bin数、样本数量。</t>
  </si>
  <si>
    <t>exp13</t>
  </si>
  <si>
    <t>exp13_entropy_pruning_finetune</t>
  </si>
  <si>
    <t>信息熵裁剪+Fine-tune</t>
  </si>
  <si>
    <t>裁剪低信息量分支并微调，验证本文方法在精度损失可控下减少冗余融合路径。</t>
  </si>
  <si>
    <t>exp12 ranking；baseline weights；modified yolo.yaml</t>
  </si>
  <si>
    <t>裁剪Q1以下分支；Fine-tune 50 epochs；记录最终指标</t>
  </si>
  <si>
    <t>pruned_model.yaml；best.pt；results.csv；pruning_summary.md</t>
  </si>
  <si>
    <t>mAP@0.5；ΔmAP；FLOPs；Params；Feature Map movement reduction</t>
  </si>
  <si>
    <t>07_experiments/stage1_algorithm_baseline_pruning/exp13_entropy_pruning_finetune/</t>
  </si>
  <si>
    <t>Table 2；Figure 2</t>
  </si>
  <si>
    <t>本文核心算法实验。</t>
  </si>
  <si>
    <t>exp14</t>
  </si>
  <si>
    <t>exp14_random_pruning_ablation</t>
  </si>
  <si>
    <t>随机裁剪对照实验</t>
  </si>
  <si>
    <t>控制裁剪分支数量，与信息熵裁剪比较，排除随机删除带来的偶然性。</t>
  </si>
  <si>
    <t>Medium</t>
  </si>
  <si>
    <t>baseline weights；same prune count</t>
  </si>
  <si>
    <t>随机裁剪×3；每次Fine-tune；取均值和方差</t>
  </si>
  <si>
    <t>random_run1/2/3 results；random_avg.csv</t>
  </si>
  <si>
    <t>mean mAP；std mAP；ΔmAP；FLOPs；Params</t>
  </si>
  <si>
    <t>07_experiments/stage1_algorithm_baseline_pruning/exp14_random_pruning_ablation/</t>
  </si>
  <si>
    <t>Table 2</t>
  </si>
  <si>
    <t>必须至少3次，否则统计说服力弱。</t>
  </si>
  <si>
    <t>exp15</t>
  </si>
  <si>
    <t>exp15_l1_pruning_ablation</t>
  </si>
  <si>
    <t>L1范数裁剪对照实验</t>
  </si>
  <si>
    <t>以权重L1范数作为传统裁剪指标，验证信息熵指标是否更适合FPN分支选择。</t>
  </si>
  <si>
    <t>计算分支相关卷积权重L1；裁剪最低分支；Fine-tune</t>
  </si>
  <si>
    <t>l1_scores.csv；l1_pruned_results.csv</t>
  </si>
  <si>
    <t>mAP@0.5；ΔmAP；FLOPs；Params</t>
  </si>
  <si>
    <t>07_experiments/stage1_algorithm_baseline_pruning/exp15_l1_pruning_ablation/</t>
  </si>
  <si>
    <t>注意L1与分支Feature Map不是同一评价对象。</t>
  </si>
  <si>
    <t>exp16</t>
  </si>
  <si>
    <t>HLS黄金数据导出</t>
  </si>
  <si>
    <t>导出裁剪后融合层的输入、输出和权重，为HLS C Sim精度对齐提供标准答案。</t>
  </si>
  <si>
    <t>exp13 pruned model；fixed validation sample</t>
  </si>
  <si>
    <t>Hook融合层输入/输出；量化为16-bit定点文本；保存weights</t>
  </si>
  <si>
    <t>golden_input.txt；golden_output.txt；weights.txt；export_config.md</t>
  </si>
  <si>
    <t>shape一致；value range；quantization scale；checksum</t>
  </si>
  <si>
    <t>Chapter 3 §3.3；Chapter 4 §4.4</t>
  </si>
  <si>
    <t>文件名必须包含layer、shape、bitwidth。</t>
  </si>
  <si>
    <t>stage2_hls_streaming_accelerator</t>
  </si>
  <si>
    <t>exp20</t>
  </si>
  <si>
    <t>exp20_fixed_point_verification</t>
  </si>
  <si>
    <t>定点化精度验证</t>
  </si>
  <si>
    <t>将float数据转换为ap_fixed&lt;16,8&gt;，验证量化误差在可接受范围。</t>
  </si>
  <si>
    <t>golden_input/output/weights</t>
  </si>
  <si>
    <t>float vs ap_fixed&lt;16,8&gt;；C Simulation；MSE对齐</t>
  </si>
  <si>
    <t>fixed_point_error.csv；csim.log；quantization_note.md</t>
  </si>
  <si>
    <t>MSE；max_abs_error；overflow count；underflow count</t>
  </si>
  <si>
    <t>07_experiments/stage2_hls_streaming_accelerator/exp20_fixed_point_verification/</t>
  </si>
  <si>
    <t>Chapter 3 §3.3；Figure 3</t>
  </si>
  <si>
    <t>阶段三会继续扫描位宽。</t>
  </si>
  <si>
    <t>exp21</t>
  </si>
  <si>
    <t>exp21_line_buffer_test</t>
  </si>
  <si>
    <t>Line Buffer独立验证</t>
  </si>
  <si>
    <t>验证K-1行缓存与行滚动逻辑，避免在完整算子中混合定位错误。</t>
  </si>
  <si>
    <t>small matrix；Python sliding window reference</t>
  </si>
  <si>
    <t>二维数组环形缓存；打印每个时刻buffer状态</t>
  </si>
  <si>
    <t>line_buffer_trace.txt；line_buffer_check.md</t>
  </si>
  <si>
    <t>row shift correctness；edge handling；cycle count</t>
  </si>
  <si>
    <t>07_experiments/stage2_hls_streaming_accelerator/exp21_line_buffer_test/</t>
  </si>
  <si>
    <t>Figure 6；Methodology §3.5</t>
  </si>
  <si>
    <t>先用5×5或6×6小矩阵。</t>
  </si>
  <si>
    <t>exp22</t>
  </si>
  <si>
    <t>exp22_window_buffer_fsm_test</t>
  </si>
  <si>
    <t>Window Buffer + FSM联调</t>
  </si>
  <si>
    <t>验证3×3窗口移位和IDLE/FILL_BUFFER/PROCESS状态机控制正确。</t>
  </si>
  <si>
    <t>exp21 line buffer；small matrix reference</t>
  </si>
  <si>
    <t>实现窗口寄存器阵列；FSM状态转移；逐窗口比对</t>
  </si>
  <si>
    <t>window_trace.txt；fsm_state_log.txt；csim.log</t>
  </si>
  <si>
    <t>window correctness；valid output cycle；FSM state sequence</t>
  </si>
  <si>
    <t>07_experiments/stage2_hls_streaming_accelerator/exp22_window_buffer_fsm_test/</t>
  </si>
  <si>
    <t>Figure 6；Chapter 3 §3.5</t>
  </si>
  <si>
    <t>FSM图后续直接转论文图。</t>
  </si>
  <si>
    <t>exp23</t>
  </si>
  <si>
    <t>Concat + 3×3 Conv C Simulation</t>
  </si>
  <si>
    <t>将Concat、Line Buffer、Window Buffer、Conv组合，完成与golden_output逐元素对齐。</t>
  </si>
  <si>
    <t>exp16 golden data；exp21/22 modules</t>
  </si>
  <si>
    <t>读取golden_input；流式输入；输出与golden_output比较</t>
  </si>
  <si>
    <t>csim_output.txt；mse_report.csv；csim.log</t>
  </si>
  <si>
    <t>MSE；max_abs_error；element mismatch count</t>
  </si>
  <si>
    <t>07_experiments/stage2_hls_streaming_accelerator/exp23_concat_conv_csim/</t>
  </si>
  <si>
    <t>Chapter 4 §4.4</t>
  </si>
  <si>
    <t>这是硬件正确性的最低证据。</t>
  </si>
  <si>
    <t>exp24</t>
  </si>
  <si>
    <t>exp24_hls_synthesis</t>
  </si>
  <si>
    <t>HLS综合资源/延迟报告</t>
  </si>
  <si>
    <t>注入PIPELINE、ARRAY_PARTITION、DATAFLOW等pragma，获得资源和延迟报告。</t>
  </si>
  <si>
    <t>exp23 verified HLS C++</t>
  </si>
  <si>
    <t>C Synthesis；记录LUT/FF/DSP/BRAM/Latency/II/Fmax</t>
  </si>
  <si>
    <t>csynth.rpt；resource_summary.xlsx；hls_pragmas.md</t>
  </si>
  <si>
    <t>LUT；FF；DSP；BRAM；Latency；II；target frequency</t>
  </si>
  <si>
    <t>Table 3；Chapter 4 §4.4</t>
  </si>
  <si>
    <t>若II&gt;1，记录瓶颈原因。</t>
  </si>
  <si>
    <t>exp25</t>
  </si>
  <si>
    <t>exp25_rtl_cosim</t>
  </si>
  <si>
    <t>C/RTL Cosimulation验证</t>
  </si>
  <si>
    <t>尽量完成RTL级协同仿真，补强硬件实现可信度。</t>
  </si>
  <si>
    <t>exp24 synthesized design；testbench</t>
  </si>
  <si>
    <t>运行Cosim；保存波形或关键时序截图</t>
  </si>
  <si>
    <t>cosim.log；waveform.png；rtl_timing_note.md</t>
  </si>
  <si>
    <t>Cosim pass/fail；latency cycles；valid signal timing</t>
  </si>
  <si>
    <t>07_experiments/stage2_hls_streaming_accelerator/exp25_rtl_cosim/</t>
  </si>
  <si>
    <t>Figure 7；Chapter 4 §4.4</t>
  </si>
  <si>
    <t>失败也要保存错误日志用于论文限制说明。</t>
  </si>
  <si>
    <t>stage3_ablation_pareto_sota</t>
  </si>
  <si>
    <t>exp30</t>
  </si>
  <si>
    <t>exp30_bitwidth_pareto</t>
  </si>
  <si>
    <t>定点位宽Pareto扫描</t>
  </si>
  <si>
    <t>扫描多种bit-width，确定精度-资源-延迟的折中拐点。</t>
  </si>
  <si>
    <t>exp23/24 HLS code；quantized model pipeline</t>
  </si>
  <si>
    <t>测试FP32/18/16/14/12/10/8-bit；记录软件精度和硬件资源</t>
  </si>
  <si>
    <t>bitwidth_results.xlsx；pareto_data.csv；figure3_source.xlsx</t>
  </si>
  <si>
    <t>mAP@0.5；LUT；DSP；BRAM；Latency；MSE</t>
  </si>
  <si>
    <t>08_results/tables_final/</t>
  </si>
  <si>
    <t>Figure 3；Chapter 4 §4.5</t>
  </si>
  <si>
    <t>16-bit是否最优必须由数据支撑。</t>
  </si>
  <si>
    <t>exp31</t>
  </si>
  <si>
    <t>exp31_hardware_ablation</t>
  </si>
  <si>
    <t>硬件结构消融</t>
  </si>
  <si>
    <t>量化Line Buffer、Window Buffer、PIPELINE等优化分别带来的收益。</t>
  </si>
  <si>
    <t>Naive Conv；ap_fixed；Line Buffer；Window Buffer；PIPELINE versions</t>
  </si>
  <si>
    <t>分别综合；比较资源与延迟</t>
  </si>
  <si>
    <t>hardware_ablation.xlsx；table3_source.xlsx</t>
  </si>
  <si>
    <t>Latency；II；LUT；DSP；BRAM；FPS</t>
  </si>
  <si>
    <t>Table 3；Figure 4</t>
  </si>
  <si>
    <t>避免只展示最终方案，必须有边际收益。</t>
  </si>
  <si>
    <t>exp32</t>
  </si>
  <si>
    <t>exp32_software_hardware_co_ablation</t>
  </si>
  <si>
    <t>软硬件协同消融矩阵</t>
  </si>
  <si>
    <t>比较原生FPN、裁剪FPN、裁剪+Line Buffer、裁剪+Pipeline的系统收益。</t>
  </si>
  <si>
    <t>C1-C4 configurations</t>
  </si>
  <si>
    <t>统一输入；记录mAP、Latency、Throughput、资源</t>
  </si>
  <si>
    <t>co_ablation_table.xlsx；figure4_source.xlsx</t>
  </si>
  <si>
    <t>mAP；Latency；FPS；LUT；DSP；BRAM</t>
  </si>
  <si>
    <t>C4是本文方案，需高亮。</t>
  </si>
  <si>
    <t>exp33</t>
  </si>
  <si>
    <t>exp33_generalization_by_defect_scale</t>
  </si>
  <si>
    <t>缺陷尺度泛化分析</t>
  </si>
  <si>
    <t>按缺陷目标大小分组，验证方法对微小目标和中大型目标的影响。</t>
  </si>
  <si>
    <t>NEU-DET annotations；test predictions</t>
  </si>
  <si>
    <t>按bbox面积分组；分别计算mAP和误检漏检情况</t>
  </si>
  <si>
    <t>scale_group_metrics.csv；generalization_note.md</t>
  </si>
  <si>
    <t>small-object mAP；large-object mAP；latency</t>
  </si>
  <si>
    <t>Chapter 4 §4.7</t>
  </si>
  <si>
    <t>这是低风险泛化实验。</t>
  </si>
  <si>
    <t>exp34</t>
  </si>
  <si>
    <t>exp34_sota_comparison</t>
  </si>
  <si>
    <t>SOTA系统级对比</t>
  </si>
  <si>
    <t>与相关FPGA CNN/YOLO加速工作比较，定位本文的能效和面积效率。</t>
  </si>
  <si>
    <t>Yang 2023；Zhang 2015；SMOF 2024；other baselines</t>
  </si>
  <si>
    <t>整理平台、精度、吞吐、功耗、资源；计算GOPS/W与GOPS/LUT</t>
  </si>
  <si>
    <t>sota_comparison.xlsx；table4_source.xlsx；figure5_source.xlsx</t>
  </si>
  <si>
    <t>mAP；Latency；Throughput；Power；GOPS/W；GOPS/LUT；LUT/DSP/BRAM</t>
  </si>
  <si>
    <t>Table 4；Figure 5</t>
  </si>
  <si>
    <t>对比必须标明平台和精度，避免不公平比较。</t>
  </si>
  <si>
    <t>stage4_paper_evidence_pack</t>
  </si>
  <si>
    <t>exp40</t>
  </si>
  <si>
    <t>exp40_final_tables</t>
  </si>
  <si>
    <t>论文最终表格固化</t>
  </si>
  <si>
    <t>将所有实验结果转化为论文Table 1-4的最终数据源。</t>
  </si>
  <si>
    <t>exp10-34 final metrics</t>
  </si>
  <si>
    <t>清洗数据；统一单位；标注best；冻结最终版本</t>
  </si>
  <si>
    <t>table1_dataset.xlsx；table2_pruning.xlsx；table3_ablation.xlsx；table4_sota.xlsx</t>
  </si>
  <si>
    <t>Completeness；unit consistency；source traceability</t>
  </si>
  <si>
    <t>Tables 1-4</t>
  </si>
  <si>
    <t>9月1日后原则上不再改实验。</t>
  </si>
  <si>
    <t>exp41</t>
  </si>
  <si>
    <t>exp41_final_figures_data</t>
  </si>
  <si>
    <t>论文最终图片数据源</t>
  </si>
  <si>
    <t>整理Figure 1-7所需原始数据、矢量图和300dpi图片。</t>
  </si>
  <si>
    <t>table sources；draw.io/PPT source；waveform</t>
  </si>
  <si>
    <t>生成矢量PDF和PNG；检查字体、分辨率、编号</t>
  </si>
  <si>
    <t>fig1-fig7.pdf/png；figure_data.xlsx；figure_checklist.md</t>
  </si>
  <si>
    <t>DPI；vector availability；caption readiness</t>
  </si>
  <si>
    <t>09_论文图片/论文最终图片/</t>
  </si>
  <si>
    <t>Figures 1-7</t>
  </si>
  <si>
    <t>论文图片与PPT图片分开管理。</t>
  </si>
  <si>
    <t>exp42</t>
  </si>
  <si>
    <t>exp42_claim_evidence_mapping</t>
  </si>
  <si>
    <t>论文Claim-证据映射</t>
  </si>
  <si>
    <t>逐条检查论文主张是否都有实验或公式支撑，提前防御审稿人质疑。</t>
  </si>
  <si>
    <t>all final tables and figures</t>
  </si>
  <si>
    <t>列出Claim；绑定表/图/公式/实验编号；检查证据缺口</t>
  </si>
  <si>
    <t>claim_evidence_matrix.xlsx；reviewer_risk_list.md</t>
  </si>
  <si>
    <t>Claim count；evidence coverage；risk level</t>
  </si>
  <si>
    <t>10_论文写作/修改记录/</t>
  </si>
  <si>
    <t>Introduction contributions；Discussion</t>
  </si>
  <si>
    <t>这是写作阶段的质量控制表。</t>
  </si>
  <si>
    <t>字段</t>
  </si>
  <si>
    <t>填写规则</t>
  </si>
  <si>
    <t>错误示例</t>
  </si>
  <si>
    <t>正确示例</t>
  </si>
  <si>
    <t>只能填0-4，对应论文路线阶段。</t>
  </si>
  <si>
    <t>阶段一</t>
  </si>
  <si>
    <t>1</t>
  </si>
  <si>
    <t>必须英文路径，避免HLS/Python中文路径问题。</t>
  </si>
  <si>
    <t>阶段一_算法</t>
  </si>
  <si>
    <t>同一阶段内递增编号；stage0用exp00起，stage1用exp10起。</t>
  </si>
  <si>
    <t>实验1</t>
  </si>
  <si>
    <t>英文小写+下划线；可包含epochs、bitwidth、日期。</t>
  </si>
  <si>
    <t>最终实验</t>
  </si>
  <si>
    <t>使用下拉：Not Started / In Progress / Done / Blocked / Need Review / Archived。</t>
  </si>
  <si>
    <t>快做完了</t>
  </si>
  <si>
    <t>Critical表示论文核心证据；High表示强支撑；Medium/Low表示补充。</t>
  </si>
  <si>
    <t>重要</t>
  </si>
  <si>
    <t>写清依赖哪个实验输出，保证可复现。</t>
  </si>
  <si>
    <t>一些数据</t>
  </si>
  <si>
    <t>exp10 best.pt；exp12 ranking</t>
  </si>
  <si>
    <t>写出具体文件名，不写抽象结果。</t>
  </si>
  <si>
    <t>实验结果</t>
  </si>
  <si>
    <t>results.csv；csynth.rpt；mse_report.csv</t>
  </si>
  <si>
    <t>写可量化指标，后续直接生成表格。</t>
  </si>
  <si>
    <t>效果好</t>
  </si>
  <si>
    <t>mAP@0.5；LUT；DSP；Latency；II</t>
  </si>
  <si>
    <t>写论文中用作哪张表/图/章节。</t>
  </si>
  <si>
    <t>论文会用</t>
  </si>
  <si>
    <t>Table 2；Figure 3；Chapter 4 §4.5</t>
  </si>
  <si>
    <t>Evidence Type</t>
  </si>
  <si>
    <t>Yangyubo</t>
  </si>
  <si>
    <t>Table</t>
  </si>
  <si>
    <t>Advisor</t>
  </si>
  <si>
    <t>Figure</t>
  </si>
  <si>
    <t>TBD</t>
  </si>
  <si>
    <t>Formula</t>
  </si>
  <si>
    <t>Low</t>
  </si>
  <si>
    <t>HLS</t>
  </si>
  <si>
    <t>Algorithm</t>
  </si>
  <si>
    <t>Need Review</t>
  </si>
  <si>
    <t>Text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</si>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</sst>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</numFmts>
  <fonts count="28">
    <font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name val="微软雅黑"/>
      <charset val="134"/>
    </font>
    <font>
      <b/>
      <sz val="16"/>
      <color rgb="FFFFFFFF"/>
      <name val="微软雅黑"/>
      <charset val="134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176" fontId="3" fillId="0" borderId="0" xfId="49" applyNumberFormat="1" applyFont="1" applyFill="1" applyBorder="1" applyAlignment="1">
      <alignment vertical="top" wrapText="1"/>
    </xf>
    <xf numFmtId="0" fontId="4" fillId="0" borderId="0" xfId="49" applyFont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/>
    </xf>
    <xf numFmtId="0" fontId="6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7" fillId="3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177" fontId="4" fillId="0" borderId="0" xfId="49" applyNumberFormat="1" applyFont="1" applyFill="1" applyBorder="1" applyAlignment="1">
      <alignment horizontal="center" vertical="center"/>
    </xf>
    <xf numFmtId="177" fontId="6" fillId="0" borderId="0" xfId="49" applyNumberFormat="1" applyFont="1" applyFill="1" applyBorder="1" applyAlignment="1">
      <alignment horizontal="center" vertical="center" wrapText="1"/>
    </xf>
    <xf numFmtId="0" fontId="7" fillId="4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color rgb="FF9C0006"/>
      </font>
      <fill>
        <patternFill patternType="solid">
          <bgColor rgb="FFF8CBAD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color rgb="FFC65911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imentIndexTable" displayName="ExperimentIndexTable" ref="A1:R25">
  <tableColumns count="18">
    <tableColumn id="1" name="Stage"/>
    <tableColumn id="2" name="Stage Folder"/>
    <tableColumn id="3" name="Exp ID"/>
    <tableColumn id="4" name="Experiment Folder"/>
    <tableColumn id="5" name="中文名称"/>
    <tableColumn id="6" name="Purpose"/>
    <tableColumn id="7" name="Start Date"/>
    <tableColumn id="8" name="Due Date"/>
    <tableColumn id="9" name="Status"/>
    <tableColumn id="10" name="Priority"/>
    <tableColumn id="11" name="Owner"/>
    <tableColumn id="12" name="Input / Dependency"/>
    <tableColumn id="13" name="Core Operation"/>
    <tableColumn id="14" name="Expected Output"/>
    <tableColumn id="15" name="Key Metrics"/>
    <tableColumn id="16" name="Result Folder"/>
    <tableColumn id="17" name="Paper Evidence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RulesTable" displayName="FieldRulesTable" ref="A1:D11">
  <tableColumns count="4">
    <tableColumn id="1" name="字段"/>
    <tableColumn id="2" name="填写规则"/>
    <tableColumn id="3" name="错误示例"/>
    <tableColumn id="4" name="正确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abSelected="1" topLeftCell="A10" workbookViewId="0">
      <selection activeCell="H14" sqref="H14"/>
    </sheetView>
  </sheetViews>
  <sheetFormatPr defaultColWidth="9" defaultRowHeight="15.6"/>
  <cols>
    <col min="1" max="1" width="6.8" style="7" customWidth="1"/>
    <col min="2" max="2" width="29" style="7" customWidth="1"/>
    <col min="3" max="3" width="37.3" style="7" customWidth="1"/>
    <col min="4" max="4" width="8.7" style="7" customWidth="1"/>
    <col min="5" max="5" width="16.6" style="7" customWidth="1"/>
    <col min="6" max="6" width="5.1" style="7" customWidth="1"/>
    <col min="7" max="7" width="6.1" style="7" customWidth="1"/>
    <col min="8" max="8" width="11.7" style="7" customWidth="1"/>
    <col min="9" max="9" width="11.5" style="7" customWidth="1"/>
    <col min="10" max="10" width="8.6" style="7" customWidth="1"/>
    <col min="11" max="11" width="11.8" style="7" customWidth="1"/>
    <col min="12" max="16384" width="9" style="7"/>
  </cols>
  <sheetData>
    <row r="1" ht="36" customHeight="1" spans="1:11">
      <c r="A1" s="8" t="s">
        <v>0</v>
      </c>
    </row>
    <row r="2" ht="42" customHeight="1"/>
    <row r="3" ht="42" customHeight="1" spans="1:11">
      <c r="A3" s="9" t="s">
        <v>1</v>
      </c>
      <c r="B3" s="10">
        <f>COUNTA(Experiment_Index!C2:C25)</f>
        <v>24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</row>
    <row r="4" ht="42" customHeight="1" spans="1:11">
      <c r="A4" s="9" t="s">
        <v>5</v>
      </c>
      <c r="B4" s="10">
        <f>COUNTIF(Experiment_Index!I2:I25,"Done")</f>
        <v>1</v>
      </c>
      <c r="D4" s="12">
        <v>0</v>
      </c>
      <c r="E4" s="12" t="s">
        <v>10</v>
      </c>
      <c r="F4" s="12">
        <f>COUNTIF(Experiment_Index!$A$2:$A$25,D4)</f>
        <v>3</v>
      </c>
      <c r="G4" s="12">
        <f>COUNTIFS(Experiment_Index!$A$2:$A$25,D4,Experiment_Index!$I$2:$I$25,"Done")</f>
        <v>1</v>
      </c>
      <c r="H4" s="12">
        <f>COUNTIFS(Experiment_Index!$A$2:$A$25,D4,Experiment_Index!$I$2:$I$25,"In Progress")</f>
        <v>1</v>
      </c>
      <c r="I4" s="12">
        <f>COUNTIFS(Experiment_Index!$A$2:$A$25,D4,Experiment_Index!$I$2:$I$25,"Not Started")</f>
        <v>1</v>
      </c>
      <c r="J4" s="12">
        <f>COUNTIFS(Experiment_Index!$A$2:$A$25,D4,Experiment_Index!$I$2:$I$25,"Blocked")</f>
        <v>0</v>
      </c>
      <c r="K4" s="13">
        <f>IF(F4=0,0,G4/F4)</f>
        <v>0.333333333333333</v>
      </c>
    </row>
    <row r="5" ht="42" customHeight="1" spans="1:11">
      <c r="A5" s="9" t="s">
        <v>6</v>
      </c>
      <c r="B5" s="10">
        <f>COUNTIF(Experiment_Index!I2:I25,"In Progress")</f>
        <v>1</v>
      </c>
      <c r="D5" s="12">
        <v>1</v>
      </c>
      <c r="E5" s="12" t="s">
        <v>11</v>
      </c>
      <c r="F5" s="12">
        <f>COUNTIF(Experiment_Index!$A$2:$A$25,D5)</f>
        <v>7</v>
      </c>
      <c r="G5" s="12">
        <f>COUNTIFS(Experiment_Index!$A$2:$A$25,D5,Experiment_Index!$I$2:$I$25,"Done")</f>
        <v>0</v>
      </c>
      <c r="H5" s="12">
        <f>COUNTIFS(Experiment_Index!$A$2:$A$25,D5,Experiment_Index!$I$2:$I$25,"In Progress")</f>
        <v>0</v>
      </c>
      <c r="I5" s="12">
        <f>COUNTIFS(Experiment_Index!$A$2:$A$25,D5,Experiment_Index!$I$2:$I$25,"Not Started")</f>
        <v>7</v>
      </c>
      <c r="J5" s="12">
        <f>COUNTIFS(Experiment_Index!$A$2:$A$25,D5,Experiment_Index!$I$2:$I$25,"Blocked")</f>
        <v>0</v>
      </c>
      <c r="K5" s="13">
        <f>IF(F5=0,0,G5/F5)</f>
        <v>0</v>
      </c>
    </row>
    <row r="6" ht="42" customHeight="1" spans="1:11">
      <c r="A6" s="9" t="s">
        <v>8</v>
      </c>
      <c r="B6" s="10">
        <f>COUNTIF(Experiment_Index!I2:I25,"Blocked")</f>
        <v>0</v>
      </c>
      <c r="D6" s="12">
        <v>2</v>
      </c>
      <c r="E6" s="12" t="s">
        <v>12</v>
      </c>
      <c r="F6" s="12">
        <f>COUNTIF(Experiment_Index!$A$2:$A$25,D6)</f>
        <v>6</v>
      </c>
      <c r="G6" s="12">
        <f>COUNTIFS(Experiment_Index!$A$2:$A$25,D6,Experiment_Index!$I$2:$I$25,"Done")</f>
        <v>0</v>
      </c>
      <c r="H6" s="12">
        <f>COUNTIFS(Experiment_Index!$A$2:$A$25,D6,Experiment_Index!$I$2:$I$25,"In Progress")</f>
        <v>0</v>
      </c>
      <c r="I6" s="12">
        <f>COUNTIFS(Experiment_Index!$A$2:$A$25,D6,Experiment_Index!$I$2:$I$25,"Not Started")</f>
        <v>6</v>
      </c>
      <c r="J6" s="12">
        <f>COUNTIFS(Experiment_Index!$A$2:$A$25,D6,Experiment_Index!$I$2:$I$25,"Blocked")</f>
        <v>0</v>
      </c>
      <c r="K6" s="13">
        <f>IF(F6=0,0,G6/F6)</f>
        <v>0</v>
      </c>
    </row>
    <row r="7" ht="42" customHeight="1" spans="1:11">
      <c r="A7" s="9" t="s">
        <v>13</v>
      </c>
      <c r="B7" s="10">
        <f>COUNTIF(Experiment_Index!J2:J25,"Critical")</f>
        <v>11</v>
      </c>
      <c r="D7" s="12">
        <v>3</v>
      </c>
      <c r="E7" s="12" t="s">
        <v>14</v>
      </c>
      <c r="F7" s="12">
        <f>COUNTIF(Experiment_Index!$A$2:$A$25,D7)</f>
        <v>5</v>
      </c>
      <c r="G7" s="12">
        <f>COUNTIFS(Experiment_Index!$A$2:$A$25,D7,Experiment_Index!$I$2:$I$25,"Done")</f>
        <v>0</v>
      </c>
      <c r="H7" s="12">
        <f>COUNTIFS(Experiment_Index!$A$2:$A$25,D7,Experiment_Index!$I$2:$I$25,"In Progress")</f>
        <v>0</v>
      </c>
      <c r="I7" s="12">
        <f>COUNTIFS(Experiment_Index!$A$2:$A$25,D7,Experiment_Index!$I$2:$I$25,"Not Started")</f>
        <v>5</v>
      </c>
      <c r="J7" s="12">
        <f>COUNTIFS(Experiment_Index!$A$2:$A$25,D7,Experiment_Index!$I$2:$I$25,"Blocked")</f>
        <v>0</v>
      </c>
      <c r="K7" s="13">
        <f>IF(F7=0,0,G7/F7)</f>
        <v>0</v>
      </c>
    </row>
    <row r="8" ht="42" customHeight="1" spans="1:11">
      <c r="A8" s="9" t="s">
        <v>15</v>
      </c>
      <c r="B8" s="14">
        <f>IF(B3=0,0,B4/B3)</f>
        <v>0.0416666666666667</v>
      </c>
      <c r="D8" s="12">
        <v>4</v>
      </c>
      <c r="E8" s="12" t="s">
        <v>16</v>
      </c>
      <c r="F8" s="12">
        <f>COUNTIF(Experiment_Index!$A$2:$A$25,D8)</f>
        <v>3</v>
      </c>
      <c r="G8" s="12">
        <f>COUNTIFS(Experiment_Index!$A$2:$A$25,D8,Experiment_Index!$I$2:$I$25,"Done")</f>
        <v>0</v>
      </c>
      <c r="H8" s="12">
        <f>COUNTIFS(Experiment_Index!$A$2:$A$25,D8,Experiment_Index!$I$2:$I$25,"In Progress")</f>
        <v>0</v>
      </c>
      <c r="I8" s="12">
        <f>COUNTIFS(Experiment_Index!$A$2:$A$25,D8,Experiment_Index!$I$2:$I$25,"Not Started")</f>
        <v>3</v>
      </c>
      <c r="J8" s="12">
        <f>COUNTIFS(Experiment_Index!$A$2:$A$25,D8,Experiment_Index!$I$2:$I$25,"Blocked")</f>
        <v>0</v>
      </c>
      <c r="K8" s="13">
        <f>IF(F8=0,0,G8/F8)</f>
        <v>0</v>
      </c>
    </row>
    <row r="9" ht="42" customHeight="1"/>
    <row r="10" ht="42" customHeight="1"/>
    <row r="11" ht="16.2" spans="1:11">
      <c r="A11" s="11" t="s">
        <v>17</v>
      </c>
    </row>
    <row r="12" ht="16.2" spans="1:11">
      <c r="A12" s="15" t="s">
        <v>18</v>
      </c>
      <c r="B12" s="15" t="s">
        <v>19</v>
      </c>
      <c r="C12" s="15" t="s">
        <v>20</v>
      </c>
      <c r="D12" s="15" t="s">
        <v>21</v>
      </c>
      <c r="E12" s="15" t="s">
        <v>22</v>
      </c>
      <c r="F12" s="15" t="s">
        <v>23</v>
      </c>
      <c r="G12" s="15"/>
      <c r="H12" s="15"/>
    </row>
    <row r="13" ht="46.8" spans="1:11">
      <c r="A13" s="16">
        <v>1</v>
      </c>
      <c r="B13" s="16" t="s">
        <v>24</v>
      </c>
      <c r="C13" s="16" t="s">
        <v>25</v>
      </c>
      <c r="D13" s="16" t="s">
        <v>26</v>
      </c>
      <c r="E13" s="16" t="s">
        <v>27</v>
      </c>
      <c r="F13" s="16" t="s">
        <v>28</v>
      </c>
      <c r="G13" s="16"/>
      <c r="H13" s="16"/>
    </row>
    <row r="14" ht="62.4" spans="1:11">
      <c r="A14" s="16">
        <v>2</v>
      </c>
      <c r="B14" s="16" t="s">
        <v>29</v>
      </c>
      <c r="C14" s="16" t="s">
        <v>30</v>
      </c>
      <c r="D14" s="16" t="s">
        <v>31</v>
      </c>
      <c r="E14" s="16" t="s">
        <v>32</v>
      </c>
      <c r="F14" s="16" t="s">
        <v>33</v>
      </c>
      <c r="G14" s="16"/>
      <c r="H14" s="16"/>
    </row>
    <row r="15" ht="46.8" spans="1:11">
      <c r="A15" s="16">
        <v>3</v>
      </c>
      <c r="B15" s="16" t="s">
        <v>34</v>
      </c>
      <c r="C15" s="16" t="s">
        <v>35</v>
      </c>
      <c r="D15" s="16" t="s">
        <v>36</v>
      </c>
      <c r="E15" s="16" t="s">
        <v>37</v>
      </c>
      <c r="F15" s="16" t="s">
        <v>38</v>
      </c>
      <c r="G15" s="16"/>
      <c r="H15" s="16"/>
    </row>
    <row r="16" ht="62.4" spans="1:11">
      <c r="A16" s="16">
        <v>4</v>
      </c>
      <c r="B16" s="16" t="s">
        <v>39</v>
      </c>
      <c r="C16" s="16" t="s">
        <v>40</v>
      </c>
      <c r="D16" s="16" t="s">
        <v>41</v>
      </c>
      <c r="E16" s="16" t="s">
        <v>42</v>
      </c>
      <c r="F16" s="16" t="s">
        <v>38</v>
      </c>
      <c r="G16" s="16"/>
      <c r="H16" s="16"/>
    </row>
    <row r="17" ht="46.8" spans="1:8">
      <c r="A17" s="16">
        <v>5</v>
      </c>
      <c r="B17" s="16" t="s">
        <v>43</v>
      </c>
      <c r="C17" s="16" t="s">
        <v>44</v>
      </c>
      <c r="D17" s="16" t="s">
        <v>45</v>
      </c>
      <c r="E17" s="16" t="s">
        <v>46</v>
      </c>
      <c r="F17" s="16" t="s">
        <v>38</v>
      </c>
      <c r="G17" s="16"/>
      <c r="H17" s="16"/>
    </row>
    <row r="18" ht="46.8" spans="1:8">
      <c r="A18" s="16">
        <v>6</v>
      </c>
      <c r="B18" s="16" t="s">
        <v>47</v>
      </c>
      <c r="C18" s="16" t="s">
        <v>48</v>
      </c>
      <c r="D18" s="16" t="s">
        <v>49</v>
      </c>
      <c r="E18" s="16" t="s">
        <v>50</v>
      </c>
      <c r="F18" s="16" t="s">
        <v>38</v>
      </c>
      <c r="G18" s="16"/>
      <c r="H18" s="16"/>
    </row>
    <row r="19" ht="42" customHeight="1"/>
    <row r="20" ht="42" customHeight="1"/>
    <row r="21" ht="42" customHeight="1"/>
    <row r="22" ht="42" customHeight="1"/>
    <row r="23" ht="42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ht="42" customHeight="1"/>
    <row r="98" ht="42" customHeight="1"/>
    <row r="99" ht="42" customHeight="1"/>
    <row r="100" ht="42" customHeight="1"/>
    <row r="101" ht="42" customHeight="1"/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  <row r="110" ht="42" customHeight="1"/>
    <row r="111" ht="42" customHeight="1"/>
    <row r="112" ht="42" customHeight="1"/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42" customHeight="1"/>
    <row r="120" ht="42" customHeight="1"/>
    <row r="121" ht="42" customHeight="1"/>
    <row r="122" ht="42" customHeight="1"/>
    <row r="123" ht="42" customHeight="1"/>
    <row r="124" ht="42" customHeight="1"/>
    <row r="125" ht="42" customHeight="1"/>
    <row r="126" ht="42" customHeight="1"/>
    <row r="127" ht="42" customHeight="1"/>
    <row r="128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ht="42" customHeight="1"/>
    <row r="146" ht="42" customHeight="1"/>
    <row r="147" ht="42" customHeight="1"/>
    <row r="148" ht="42" customHeight="1"/>
    <row r="149" ht="42" customHeight="1"/>
    <row r="150" ht="42" customHeight="1"/>
    <row r="151" ht="42" customHeight="1"/>
    <row r="152" ht="42" customHeight="1"/>
    <row r="153" ht="42" customHeight="1"/>
    <row r="154" ht="42" customHeight="1"/>
    <row r="155" ht="42" customHeight="1"/>
    <row r="156" ht="42" customHeight="1"/>
    <row r="157" ht="42" customHeight="1"/>
    <row r="158" ht="42" customHeight="1"/>
    <row r="159" ht="42" customHeight="1"/>
    <row r="160" ht="42" customHeight="1"/>
    <row r="161" ht="42" customHeight="1"/>
    <row r="162" ht="42" customHeight="1"/>
    <row r="163" ht="42" customHeight="1"/>
    <row r="164" ht="42" customHeight="1"/>
    <row r="165" ht="42" customHeight="1"/>
    <row r="166" ht="42" customHeight="1"/>
    <row r="167" ht="42" customHeight="1"/>
    <row r="168" ht="42" customHeight="1"/>
    <row r="169" ht="42" customHeight="1"/>
    <row r="170" ht="42" customHeight="1"/>
    <row r="171" ht="42" customHeight="1"/>
    <row r="172" ht="42" customHeight="1"/>
    <row r="173" ht="42" customHeight="1"/>
    <row r="174" ht="42" customHeight="1"/>
    <row r="175" ht="42" customHeight="1"/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  <row r="185" ht="42" customHeight="1"/>
    <row r="186" ht="42" customHeight="1"/>
    <row r="187" ht="42" customHeight="1"/>
    <row r="188" ht="42" customHeight="1"/>
    <row r="189" ht="42" customHeight="1"/>
    <row r="190" ht="42" customHeight="1"/>
    <row r="191" ht="42" customHeight="1"/>
    <row r="19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</sheetData>
  <mergeCells count="2">
    <mergeCell ref="A1:H1"/>
    <mergeCell ref="A11:H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9" defaultRowHeight="13.8"/>
  <cols>
    <col min="1" max="1" width="8" customWidth="1"/>
    <col min="2" max="2" width="28" customWidth="1"/>
    <col min="3" max="3" width="10" customWidth="1"/>
    <col min="4" max="4" width="34" customWidth="1"/>
    <col min="5" max="5" width="24" customWidth="1"/>
    <col min="6" max="6" width="42" customWidth="1"/>
    <col min="7" max="8" width="12" customWidth="1"/>
    <col min="9" max="9" width="14" customWidth="1"/>
    <col min="10" max="11" width="12" customWidth="1"/>
    <col min="12" max="12" width="34" customWidth="1"/>
    <col min="13" max="14" width="38" customWidth="1"/>
    <col min="15" max="15" width="30" customWidth="1"/>
    <col min="16" max="16" width="38" customWidth="1"/>
    <col min="17" max="17" width="30" customWidth="1"/>
    <col min="18" max="18" width="36" customWidth="1"/>
  </cols>
  <sheetData>
    <row r="1" ht="36" customHeight="1" spans="1:18">
      <c r="A1" s="4" t="s">
        <v>2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</row>
    <row r="2" ht="42" customHeight="1" spans="1:18">
      <c r="A2" s="5">
        <v>0</v>
      </c>
      <c r="B2" s="5" t="s">
        <v>68</v>
      </c>
      <c r="C2" s="5" t="s">
        <v>69</v>
      </c>
      <c r="D2" s="5" t="s">
        <v>24</v>
      </c>
      <c r="E2" s="5" t="s">
        <v>70</v>
      </c>
      <c r="F2" s="5" t="s">
        <v>71</v>
      </c>
      <c r="G2" s="6">
        <v>46204</v>
      </c>
      <c r="H2" s="6">
        <v>46205</v>
      </c>
      <c r="I2" s="5" t="s">
        <v>6</v>
      </c>
      <c r="J2" s="5" t="s">
        <v>72</v>
      </c>
      <c r="K2" s="5" t="s">
        <v>73</v>
      </c>
      <c r="L2" s="5" t="s">
        <v>74</v>
      </c>
      <c r="M2" s="5" t="s">
        <v>75</v>
      </c>
      <c r="N2" s="5" t="s">
        <v>76</v>
      </c>
      <c r="O2" s="5" t="s">
        <v>77</v>
      </c>
      <c r="P2" s="5" t="s">
        <v>78</v>
      </c>
      <c r="Q2" s="5" t="s">
        <v>79</v>
      </c>
      <c r="R2" s="5" t="s">
        <v>80</v>
      </c>
    </row>
    <row r="3" ht="42" customHeight="1" spans="1:18">
      <c r="A3" s="5">
        <v>0</v>
      </c>
      <c r="B3" s="5" t="s">
        <v>68</v>
      </c>
      <c r="C3" s="5" t="s">
        <v>81</v>
      </c>
      <c r="D3" s="5" t="s">
        <v>82</v>
      </c>
      <c r="E3" s="5" t="s">
        <v>83</v>
      </c>
      <c r="F3" s="5" t="s">
        <v>84</v>
      </c>
      <c r="G3" s="6">
        <v>46203</v>
      </c>
      <c r="H3" s="6">
        <v>46203</v>
      </c>
      <c r="I3" s="5" t="s">
        <v>5</v>
      </c>
      <c r="J3" s="5" t="s">
        <v>72</v>
      </c>
      <c r="K3" s="5" t="s">
        <v>73</v>
      </c>
      <c r="L3" s="5" t="s">
        <v>85</v>
      </c>
      <c r="M3" s="5" t="s">
        <v>86</v>
      </c>
      <c r="N3" s="5" t="s">
        <v>87</v>
      </c>
      <c r="O3" s="5" t="s">
        <v>88</v>
      </c>
      <c r="P3" s="5" t="s">
        <v>89</v>
      </c>
      <c r="Q3" s="5" t="s">
        <v>90</v>
      </c>
      <c r="R3" s="5" t="s">
        <v>91</v>
      </c>
    </row>
    <row r="4" ht="42" customHeight="1" spans="1:18">
      <c r="A4" s="5">
        <v>0</v>
      </c>
      <c r="B4" s="5" t="s">
        <v>68</v>
      </c>
      <c r="C4" s="5" t="s">
        <v>92</v>
      </c>
      <c r="D4" s="5" t="s">
        <v>29</v>
      </c>
      <c r="E4" s="5" t="s">
        <v>93</v>
      </c>
      <c r="F4" s="5" t="s">
        <v>94</v>
      </c>
      <c r="G4" s="6">
        <v>46206</v>
      </c>
      <c r="H4" s="6">
        <v>46206</v>
      </c>
      <c r="I4" s="5" t="s">
        <v>7</v>
      </c>
      <c r="J4" s="5" t="s">
        <v>72</v>
      </c>
      <c r="K4" s="5" t="s">
        <v>73</v>
      </c>
      <c r="L4" s="5" t="s">
        <v>95</v>
      </c>
      <c r="M4" s="5" t="s">
        <v>96</v>
      </c>
      <c r="N4" s="5" t="s">
        <v>97</v>
      </c>
      <c r="O4" s="5" t="s">
        <v>98</v>
      </c>
      <c r="P4" s="5" t="s">
        <v>31</v>
      </c>
      <c r="Q4" s="5" t="s">
        <v>79</v>
      </c>
      <c r="R4" s="5" t="s">
        <v>99</v>
      </c>
    </row>
    <row r="5" ht="42" customHeight="1" spans="1:18">
      <c r="A5" s="5">
        <v>1</v>
      </c>
      <c r="B5" s="5" t="s">
        <v>100</v>
      </c>
      <c r="C5" s="5" t="s">
        <v>101</v>
      </c>
      <c r="D5" s="5" t="s">
        <v>34</v>
      </c>
      <c r="E5" s="5" t="s">
        <v>102</v>
      </c>
      <c r="F5" s="5" t="s">
        <v>103</v>
      </c>
      <c r="G5" s="6">
        <v>46210</v>
      </c>
      <c r="H5" s="6">
        <v>46214</v>
      </c>
      <c r="I5" s="5" t="s">
        <v>7</v>
      </c>
      <c r="J5" s="5" t="s">
        <v>13</v>
      </c>
      <c r="K5" s="5" t="s">
        <v>73</v>
      </c>
      <c r="L5" s="5" t="s">
        <v>104</v>
      </c>
      <c r="M5" s="5" t="s">
        <v>105</v>
      </c>
      <c r="N5" s="5" t="s">
        <v>106</v>
      </c>
      <c r="O5" s="5" t="s">
        <v>107</v>
      </c>
      <c r="P5" s="5" t="s">
        <v>108</v>
      </c>
      <c r="Q5" s="5" t="s">
        <v>109</v>
      </c>
      <c r="R5" s="5" t="s">
        <v>110</v>
      </c>
    </row>
    <row r="6" ht="42" customHeight="1" spans="1:18">
      <c r="A6" s="5">
        <v>1</v>
      </c>
      <c r="B6" s="5" t="s">
        <v>100</v>
      </c>
      <c r="C6" s="5" t="s">
        <v>111</v>
      </c>
      <c r="D6" s="5" t="s">
        <v>112</v>
      </c>
      <c r="E6" s="5" t="s">
        <v>113</v>
      </c>
      <c r="F6" s="5" t="s">
        <v>114</v>
      </c>
      <c r="G6" s="6">
        <v>46215</v>
      </c>
      <c r="H6" s="6">
        <v>46217</v>
      </c>
      <c r="I6" s="5" t="s">
        <v>7</v>
      </c>
      <c r="J6" s="5" t="s">
        <v>72</v>
      </c>
      <c r="K6" s="5" t="s">
        <v>73</v>
      </c>
      <c r="L6" s="5" t="s">
        <v>115</v>
      </c>
      <c r="M6" s="5" t="s">
        <v>116</v>
      </c>
      <c r="N6" s="5" t="s">
        <v>117</v>
      </c>
      <c r="O6" s="5" t="s">
        <v>118</v>
      </c>
      <c r="P6" s="5" t="s">
        <v>119</v>
      </c>
      <c r="Q6" s="5" t="s">
        <v>120</v>
      </c>
      <c r="R6" s="5" t="s">
        <v>121</v>
      </c>
    </row>
    <row r="7" ht="42" customHeight="1" spans="1:18">
      <c r="A7" s="5">
        <v>1</v>
      </c>
      <c r="B7" s="5" t="s">
        <v>100</v>
      </c>
      <c r="C7" s="5" t="s">
        <v>122</v>
      </c>
      <c r="D7" s="5" t="s">
        <v>39</v>
      </c>
      <c r="E7" s="5" t="s">
        <v>123</v>
      </c>
      <c r="F7" s="5" t="s">
        <v>124</v>
      </c>
      <c r="G7" s="6">
        <v>46216</v>
      </c>
      <c r="H7" s="6">
        <v>46218</v>
      </c>
      <c r="I7" s="5" t="s">
        <v>7</v>
      </c>
      <c r="J7" s="5" t="s">
        <v>13</v>
      </c>
      <c r="K7" s="5" t="s">
        <v>73</v>
      </c>
      <c r="L7" s="5" t="s">
        <v>125</v>
      </c>
      <c r="M7" s="5" t="s">
        <v>126</v>
      </c>
      <c r="N7" s="5" t="s">
        <v>127</v>
      </c>
      <c r="O7" s="5" t="s">
        <v>128</v>
      </c>
      <c r="P7" s="5" t="s">
        <v>41</v>
      </c>
      <c r="Q7" s="5" t="s">
        <v>129</v>
      </c>
      <c r="R7" s="5" t="s">
        <v>130</v>
      </c>
    </row>
    <row r="8" ht="42" customHeight="1" spans="1:18">
      <c r="A8" s="5">
        <v>1</v>
      </c>
      <c r="B8" s="5" t="s">
        <v>100</v>
      </c>
      <c r="C8" s="5" t="s">
        <v>131</v>
      </c>
      <c r="D8" s="5" t="s">
        <v>132</v>
      </c>
      <c r="E8" s="5" t="s">
        <v>133</v>
      </c>
      <c r="F8" s="5" t="s">
        <v>134</v>
      </c>
      <c r="G8" s="6">
        <v>46218</v>
      </c>
      <c r="H8" s="6">
        <v>46222</v>
      </c>
      <c r="I8" s="5" t="s">
        <v>7</v>
      </c>
      <c r="J8" s="5" t="s">
        <v>13</v>
      </c>
      <c r="K8" s="5" t="s">
        <v>73</v>
      </c>
      <c r="L8" s="5" t="s">
        <v>135</v>
      </c>
      <c r="M8" s="5" t="s">
        <v>136</v>
      </c>
      <c r="N8" s="5" t="s">
        <v>137</v>
      </c>
      <c r="O8" s="5" t="s">
        <v>138</v>
      </c>
      <c r="P8" s="5" t="s">
        <v>139</v>
      </c>
      <c r="Q8" s="5" t="s">
        <v>140</v>
      </c>
      <c r="R8" s="5" t="s">
        <v>141</v>
      </c>
    </row>
    <row r="9" ht="42" customHeight="1" spans="1:18">
      <c r="A9" s="5">
        <v>1</v>
      </c>
      <c r="B9" s="5" t="s">
        <v>100</v>
      </c>
      <c r="C9" s="5" t="s">
        <v>142</v>
      </c>
      <c r="D9" s="5" t="s">
        <v>143</v>
      </c>
      <c r="E9" s="5" t="s">
        <v>144</v>
      </c>
      <c r="F9" s="5" t="s">
        <v>145</v>
      </c>
      <c r="G9" s="6">
        <v>46218</v>
      </c>
      <c r="H9" s="6">
        <v>46222</v>
      </c>
      <c r="I9" s="5" t="s">
        <v>7</v>
      </c>
      <c r="J9" s="5" t="s">
        <v>146</v>
      </c>
      <c r="K9" s="5" t="s">
        <v>73</v>
      </c>
      <c r="L9" s="5" t="s">
        <v>147</v>
      </c>
      <c r="M9" s="5" t="s">
        <v>148</v>
      </c>
      <c r="N9" s="5" t="s">
        <v>149</v>
      </c>
      <c r="O9" s="5" t="s">
        <v>150</v>
      </c>
      <c r="P9" s="5" t="s">
        <v>151</v>
      </c>
      <c r="Q9" s="5" t="s">
        <v>152</v>
      </c>
      <c r="R9" s="5" t="s">
        <v>153</v>
      </c>
    </row>
    <row r="10" ht="42" customHeight="1" spans="1:18">
      <c r="A10" s="5">
        <v>1</v>
      </c>
      <c r="B10" s="5" t="s">
        <v>100</v>
      </c>
      <c r="C10" s="5" t="s">
        <v>154</v>
      </c>
      <c r="D10" s="5" t="s">
        <v>155</v>
      </c>
      <c r="E10" s="5" t="s">
        <v>156</v>
      </c>
      <c r="F10" s="5" t="s">
        <v>157</v>
      </c>
      <c r="G10" s="6">
        <v>46218</v>
      </c>
      <c r="H10" s="6">
        <v>46222</v>
      </c>
      <c r="I10" s="5" t="s">
        <v>7</v>
      </c>
      <c r="J10" s="5" t="s">
        <v>146</v>
      </c>
      <c r="K10" s="5" t="s">
        <v>73</v>
      </c>
      <c r="L10" s="5" t="s">
        <v>147</v>
      </c>
      <c r="M10" s="5" t="s">
        <v>158</v>
      </c>
      <c r="N10" s="5" t="s">
        <v>159</v>
      </c>
      <c r="O10" s="5" t="s">
        <v>160</v>
      </c>
      <c r="P10" s="5" t="s">
        <v>161</v>
      </c>
      <c r="Q10" s="5" t="s">
        <v>152</v>
      </c>
      <c r="R10" s="5" t="s">
        <v>162</v>
      </c>
    </row>
    <row r="11" ht="42" customHeight="1" spans="1:18">
      <c r="A11" s="5">
        <v>1</v>
      </c>
      <c r="B11" s="5" t="s">
        <v>100</v>
      </c>
      <c r="C11" s="5" t="s">
        <v>163</v>
      </c>
      <c r="D11" s="5" t="s">
        <v>43</v>
      </c>
      <c r="E11" s="5" t="s">
        <v>164</v>
      </c>
      <c r="F11" s="5" t="s">
        <v>165</v>
      </c>
      <c r="G11" s="6">
        <v>46223</v>
      </c>
      <c r="H11" s="6">
        <v>46224</v>
      </c>
      <c r="I11" s="5" t="s">
        <v>7</v>
      </c>
      <c r="J11" s="5" t="s">
        <v>13</v>
      </c>
      <c r="K11" s="5" t="s">
        <v>73</v>
      </c>
      <c r="L11" s="5" t="s">
        <v>166</v>
      </c>
      <c r="M11" s="5" t="s">
        <v>167</v>
      </c>
      <c r="N11" s="5" t="s">
        <v>168</v>
      </c>
      <c r="O11" s="5" t="s">
        <v>169</v>
      </c>
      <c r="P11" s="5" t="s">
        <v>45</v>
      </c>
      <c r="Q11" s="5" t="s">
        <v>170</v>
      </c>
      <c r="R11" s="5" t="s">
        <v>171</v>
      </c>
    </row>
    <row r="12" ht="42" customHeight="1" spans="1:18">
      <c r="A12" s="5">
        <v>2</v>
      </c>
      <c r="B12" s="5" t="s">
        <v>172</v>
      </c>
      <c r="C12" s="5" t="s">
        <v>173</v>
      </c>
      <c r="D12" s="5" t="s">
        <v>174</v>
      </c>
      <c r="E12" s="5" t="s">
        <v>175</v>
      </c>
      <c r="F12" s="5" t="s">
        <v>176</v>
      </c>
      <c r="G12" s="6">
        <v>46225</v>
      </c>
      <c r="H12" s="6">
        <v>46228</v>
      </c>
      <c r="I12" s="5" t="s">
        <v>7</v>
      </c>
      <c r="J12" s="5" t="s">
        <v>13</v>
      </c>
      <c r="K12" s="5" t="s">
        <v>73</v>
      </c>
      <c r="L12" s="5" t="s">
        <v>177</v>
      </c>
      <c r="M12" s="5" t="s">
        <v>178</v>
      </c>
      <c r="N12" s="5" t="s">
        <v>179</v>
      </c>
      <c r="O12" s="5" t="s">
        <v>180</v>
      </c>
      <c r="P12" s="5" t="s">
        <v>181</v>
      </c>
      <c r="Q12" s="5" t="s">
        <v>182</v>
      </c>
      <c r="R12" s="5" t="s">
        <v>183</v>
      </c>
    </row>
    <row r="13" ht="42" customHeight="1" spans="1:18">
      <c r="A13" s="5">
        <v>2</v>
      </c>
      <c r="B13" s="5" t="s">
        <v>172</v>
      </c>
      <c r="C13" s="5" t="s">
        <v>184</v>
      </c>
      <c r="D13" s="5" t="s">
        <v>185</v>
      </c>
      <c r="E13" s="5" t="s">
        <v>186</v>
      </c>
      <c r="F13" s="5" t="s">
        <v>187</v>
      </c>
      <c r="G13" s="6">
        <v>46229</v>
      </c>
      <c r="H13" s="6">
        <v>46231</v>
      </c>
      <c r="I13" s="5" t="s">
        <v>7</v>
      </c>
      <c r="J13" s="5" t="s">
        <v>72</v>
      </c>
      <c r="K13" s="5" t="s">
        <v>73</v>
      </c>
      <c r="L13" s="5" t="s">
        <v>188</v>
      </c>
      <c r="M13" s="5" t="s">
        <v>189</v>
      </c>
      <c r="N13" s="5" t="s">
        <v>190</v>
      </c>
      <c r="O13" s="5" t="s">
        <v>191</v>
      </c>
      <c r="P13" s="5" t="s">
        <v>192</v>
      </c>
      <c r="Q13" s="5" t="s">
        <v>193</v>
      </c>
      <c r="R13" s="5" t="s">
        <v>194</v>
      </c>
    </row>
    <row r="14" ht="42" customHeight="1" spans="1:18">
      <c r="A14" s="5">
        <v>2</v>
      </c>
      <c r="B14" s="5" t="s">
        <v>172</v>
      </c>
      <c r="C14" s="5" t="s">
        <v>195</v>
      </c>
      <c r="D14" s="5" t="s">
        <v>196</v>
      </c>
      <c r="E14" s="5" t="s">
        <v>197</v>
      </c>
      <c r="F14" s="5" t="s">
        <v>198</v>
      </c>
      <c r="G14" s="6">
        <v>46232</v>
      </c>
      <c r="H14" s="6">
        <v>46236</v>
      </c>
      <c r="I14" s="5" t="s">
        <v>7</v>
      </c>
      <c r="J14" s="5" t="s">
        <v>72</v>
      </c>
      <c r="K14" s="5" t="s">
        <v>73</v>
      </c>
      <c r="L14" s="5" t="s">
        <v>199</v>
      </c>
      <c r="M14" s="5" t="s">
        <v>200</v>
      </c>
      <c r="N14" s="5" t="s">
        <v>201</v>
      </c>
      <c r="O14" s="5" t="s">
        <v>202</v>
      </c>
      <c r="P14" s="5" t="s">
        <v>203</v>
      </c>
      <c r="Q14" s="5" t="s">
        <v>204</v>
      </c>
      <c r="R14" s="5" t="s">
        <v>205</v>
      </c>
    </row>
    <row r="15" ht="42" customHeight="1" spans="1:18">
      <c r="A15" s="5">
        <v>2</v>
      </c>
      <c r="B15" s="5" t="s">
        <v>172</v>
      </c>
      <c r="C15" s="5" t="s">
        <v>206</v>
      </c>
      <c r="D15" s="5" t="s">
        <v>47</v>
      </c>
      <c r="E15" s="5" t="s">
        <v>207</v>
      </c>
      <c r="F15" s="5" t="s">
        <v>208</v>
      </c>
      <c r="G15" s="6">
        <v>46237</v>
      </c>
      <c r="H15" s="6">
        <v>46240</v>
      </c>
      <c r="I15" s="5" t="s">
        <v>7</v>
      </c>
      <c r="J15" s="5" t="s">
        <v>13</v>
      </c>
      <c r="K15" s="5" t="s">
        <v>73</v>
      </c>
      <c r="L15" s="5" t="s">
        <v>209</v>
      </c>
      <c r="M15" s="5" t="s">
        <v>210</v>
      </c>
      <c r="N15" s="5" t="s">
        <v>211</v>
      </c>
      <c r="O15" s="5" t="s">
        <v>212</v>
      </c>
      <c r="P15" s="5" t="s">
        <v>213</v>
      </c>
      <c r="Q15" s="5" t="s">
        <v>214</v>
      </c>
      <c r="R15" s="5" t="s">
        <v>215</v>
      </c>
    </row>
    <row r="16" ht="42" customHeight="1" spans="1:18">
      <c r="A16" s="5">
        <v>2</v>
      </c>
      <c r="B16" s="5" t="s">
        <v>172</v>
      </c>
      <c r="C16" s="5" t="s">
        <v>216</v>
      </c>
      <c r="D16" s="5" t="s">
        <v>217</v>
      </c>
      <c r="E16" s="5" t="s">
        <v>218</v>
      </c>
      <c r="F16" s="5" t="s">
        <v>219</v>
      </c>
      <c r="G16" s="6">
        <v>46241</v>
      </c>
      <c r="H16" s="6">
        <v>46248</v>
      </c>
      <c r="I16" s="5" t="s">
        <v>7</v>
      </c>
      <c r="J16" s="5" t="s">
        <v>13</v>
      </c>
      <c r="K16" s="5" t="s">
        <v>73</v>
      </c>
      <c r="L16" s="5" t="s">
        <v>220</v>
      </c>
      <c r="M16" s="5" t="s">
        <v>221</v>
      </c>
      <c r="N16" s="5" t="s">
        <v>222</v>
      </c>
      <c r="O16" s="5" t="s">
        <v>223</v>
      </c>
      <c r="P16" s="5" t="s">
        <v>31</v>
      </c>
      <c r="Q16" s="5" t="s">
        <v>224</v>
      </c>
      <c r="R16" s="5" t="s">
        <v>225</v>
      </c>
    </row>
    <row r="17" ht="42" customHeight="1" spans="1:18">
      <c r="A17" s="5">
        <v>2</v>
      </c>
      <c r="B17" s="5" t="s">
        <v>172</v>
      </c>
      <c r="C17" s="5" t="s">
        <v>226</v>
      </c>
      <c r="D17" s="5" t="s">
        <v>227</v>
      </c>
      <c r="E17" s="5" t="s">
        <v>228</v>
      </c>
      <c r="F17" s="5" t="s">
        <v>229</v>
      </c>
      <c r="G17" s="6">
        <v>46244</v>
      </c>
      <c r="H17" s="6">
        <v>46248</v>
      </c>
      <c r="I17" s="5" t="s">
        <v>7</v>
      </c>
      <c r="J17" s="5" t="s">
        <v>72</v>
      </c>
      <c r="K17" s="5" t="s">
        <v>73</v>
      </c>
      <c r="L17" s="5" t="s">
        <v>230</v>
      </c>
      <c r="M17" s="5" t="s">
        <v>231</v>
      </c>
      <c r="N17" s="5" t="s">
        <v>232</v>
      </c>
      <c r="O17" s="5" t="s">
        <v>233</v>
      </c>
      <c r="P17" s="5" t="s">
        <v>234</v>
      </c>
      <c r="Q17" s="5" t="s">
        <v>235</v>
      </c>
      <c r="R17" s="5" t="s">
        <v>236</v>
      </c>
    </row>
    <row r="18" ht="42" customHeight="1" spans="1:18">
      <c r="A18" s="5">
        <v>3</v>
      </c>
      <c r="B18" s="5" t="s">
        <v>237</v>
      </c>
      <c r="C18" s="5" t="s">
        <v>238</v>
      </c>
      <c r="D18" s="5" t="s">
        <v>239</v>
      </c>
      <c r="E18" s="5" t="s">
        <v>240</v>
      </c>
      <c r="F18" s="5" t="s">
        <v>241</v>
      </c>
      <c r="G18" s="6">
        <v>46249</v>
      </c>
      <c r="H18" s="6">
        <v>46253</v>
      </c>
      <c r="I18" s="5" t="s">
        <v>7</v>
      </c>
      <c r="J18" s="5" t="s">
        <v>13</v>
      </c>
      <c r="K18" s="5" t="s">
        <v>73</v>
      </c>
      <c r="L18" s="5" t="s">
        <v>242</v>
      </c>
      <c r="M18" s="5" t="s">
        <v>243</v>
      </c>
      <c r="N18" s="5" t="s">
        <v>244</v>
      </c>
      <c r="O18" s="5" t="s">
        <v>245</v>
      </c>
      <c r="P18" s="5" t="s">
        <v>246</v>
      </c>
      <c r="Q18" s="5" t="s">
        <v>247</v>
      </c>
      <c r="R18" s="5" t="s">
        <v>248</v>
      </c>
    </row>
    <row r="19" ht="42" customHeight="1" spans="1:18">
      <c r="A19" s="5">
        <v>3</v>
      </c>
      <c r="B19" s="5" t="s">
        <v>237</v>
      </c>
      <c r="C19" s="5" t="s">
        <v>249</v>
      </c>
      <c r="D19" s="5" t="s">
        <v>250</v>
      </c>
      <c r="E19" s="5" t="s">
        <v>251</v>
      </c>
      <c r="F19" s="5" t="s">
        <v>252</v>
      </c>
      <c r="G19" s="6">
        <v>46254</v>
      </c>
      <c r="H19" s="6">
        <v>46258</v>
      </c>
      <c r="I19" s="5" t="s">
        <v>7</v>
      </c>
      <c r="J19" s="5" t="s">
        <v>72</v>
      </c>
      <c r="K19" s="5" t="s">
        <v>73</v>
      </c>
      <c r="L19" s="5" t="s">
        <v>253</v>
      </c>
      <c r="M19" s="5" t="s">
        <v>254</v>
      </c>
      <c r="N19" s="5" t="s">
        <v>255</v>
      </c>
      <c r="O19" s="5" t="s">
        <v>256</v>
      </c>
      <c r="P19" s="5" t="s">
        <v>246</v>
      </c>
      <c r="Q19" s="5" t="s">
        <v>257</v>
      </c>
      <c r="R19" s="5" t="s">
        <v>258</v>
      </c>
    </row>
    <row r="20" ht="42" customHeight="1" spans="1:18">
      <c r="A20" s="5">
        <v>3</v>
      </c>
      <c r="B20" s="5" t="s">
        <v>237</v>
      </c>
      <c r="C20" s="5" t="s">
        <v>259</v>
      </c>
      <c r="D20" s="5" t="s">
        <v>260</v>
      </c>
      <c r="E20" s="5" t="s">
        <v>261</v>
      </c>
      <c r="F20" s="5" t="s">
        <v>262</v>
      </c>
      <c r="G20" s="6">
        <v>46254</v>
      </c>
      <c r="H20" s="6">
        <v>46258</v>
      </c>
      <c r="I20" s="5" t="s">
        <v>7</v>
      </c>
      <c r="J20" s="5" t="s">
        <v>13</v>
      </c>
      <c r="K20" s="5" t="s">
        <v>73</v>
      </c>
      <c r="L20" s="5" t="s">
        <v>263</v>
      </c>
      <c r="M20" s="5" t="s">
        <v>264</v>
      </c>
      <c r="N20" s="5" t="s">
        <v>265</v>
      </c>
      <c r="O20" s="5" t="s">
        <v>266</v>
      </c>
      <c r="P20" s="5" t="s">
        <v>246</v>
      </c>
      <c r="Q20" s="5" t="s">
        <v>257</v>
      </c>
      <c r="R20" s="5" t="s">
        <v>267</v>
      </c>
    </row>
    <row r="21" ht="42" customHeight="1" spans="1:18">
      <c r="A21" s="5">
        <v>3</v>
      </c>
      <c r="B21" s="5" t="s">
        <v>237</v>
      </c>
      <c r="C21" s="5" t="s">
        <v>268</v>
      </c>
      <c r="D21" s="5" t="s">
        <v>269</v>
      </c>
      <c r="E21" s="5" t="s">
        <v>270</v>
      </c>
      <c r="F21" s="5" t="s">
        <v>271</v>
      </c>
      <c r="G21" s="6">
        <v>46259</v>
      </c>
      <c r="H21" s="6">
        <v>46261</v>
      </c>
      <c r="I21" s="5" t="s">
        <v>7</v>
      </c>
      <c r="J21" s="5" t="s">
        <v>146</v>
      </c>
      <c r="K21" s="5" t="s">
        <v>73</v>
      </c>
      <c r="L21" s="5" t="s">
        <v>272</v>
      </c>
      <c r="M21" s="5" t="s">
        <v>273</v>
      </c>
      <c r="N21" s="5" t="s">
        <v>274</v>
      </c>
      <c r="O21" s="5" t="s">
        <v>275</v>
      </c>
      <c r="P21" s="5" t="s">
        <v>119</v>
      </c>
      <c r="Q21" s="5" t="s">
        <v>276</v>
      </c>
      <c r="R21" s="5" t="s">
        <v>277</v>
      </c>
    </row>
    <row r="22" ht="42" customHeight="1" spans="1:18">
      <c r="A22" s="5">
        <v>3</v>
      </c>
      <c r="B22" s="5" t="s">
        <v>237</v>
      </c>
      <c r="C22" s="5" t="s">
        <v>278</v>
      </c>
      <c r="D22" s="5" t="s">
        <v>279</v>
      </c>
      <c r="E22" s="5" t="s">
        <v>280</v>
      </c>
      <c r="F22" s="5" t="s">
        <v>281</v>
      </c>
      <c r="G22" s="6">
        <v>46262</v>
      </c>
      <c r="H22" s="6">
        <v>46266</v>
      </c>
      <c r="I22" s="5" t="s">
        <v>7</v>
      </c>
      <c r="J22" s="5" t="s">
        <v>13</v>
      </c>
      <c r="K22" s="5" t="s">
        <v>73</v>
      </c>
      <c r="L22" s="5" t="s">
        <v>282</v>
      </c>
      <c r="M22" s="5" t="s">
        <v>283</v>
      </c>
      <c r="N22" s="5" t="s">
        <v>284</v>
      </c>
      <c r="O22" s="5" t="s">
        <v>285</v>
      </c>
      <c r="P22" s="5" t="s">
        <v>246</v>
      </c>
      <c r="Q22" s="5" t="s">
        <v>286</v>
      </c>
      <c r="R22" s="5" t="s">
        <v>287</v>
      </c>
    </row>
    <row r="23" ht="42" customHeight="1" spans="1:18">
      <c r="A23" s="5">
        <v>4</v>
      </c>
      <c r="B23" s="5" t="s">
        <v>288</v>
      </c>
      <c r="C23" s="5" t="s">
        <v>289</v>
      </c>
      <c r="D23" s="5" t="s">
        <v>290</v>
      </c>
      <c r="E23" s="5" t="s">
        <v>291</v>
      </c>
      <c r="F23" s="5" t="s">
        <v>292</v>
      </c>
      <c r="G23" s="6">
        <v>46267</v>
      </c>
      <c r="H23" s="6">
        <v>46269</v>
      </c>
      <c r="I23" s="5" t="s">
        <v>7</v>
      </c>
      <c r="J23" s="5" t="s">
        <v>72</v>
      </c>
      <c r="K23" s="5" t="s">
        <v>73</v>
      </c>
      <c r="L23" s="5" t="s">
        <v>293</v>
      </c>
      <c r="M23" s="5" t="s">
        <v>294</v>
      </c>
      <c r="N23" s="5" t="s">
        <v>295</v>
      </c>
      <c r="O23" s="5" t="s">
        <v>296</v>
      </c>
      <c r="P23" s="5" t="s">
        <v>246</v>
      </c>
      <c r="Q23" s="5" t="s">
        <v>297</v>
      </c>
      <c r="R23" s="5" t="s">
        <v>298</v>
      </c>
    </row>
    <row r="24" ht="42" customHeight="1" spans="1:18">
      <c r="A24" s="5">
        <v>4</v>
      </c>
      <c r="B24" s="5" t="s">
        <v>288</v>
      </c>
      <c r="C24" s="5" t="s">
        <v>299</v>
      </c>
      <c r="D24" s="5" t="s">
        <v>300</v>
      </c>
      <c r="E24" s="5" t="s">
        <v>301</v>
      </c>
      <c r="F24" s="5" t="s">
        <v>302</v>
      </c>
      <c r="G24" s="6">
        <v>46267</v>
      </c>
      <c r="H24" s="6">
        <v>46269</v>
      </c>
      <c r="I24" s="5" t="s">
        <v>7</v>
      </c>
      <c r="J24" s="5" t="s">
        <v>72</v>
      </c>
      <c r="K24" s="5" t="s">
        <v>73</v>
      </c>
      <c r="L24" s="5" t="s">
        <v>303</v>
      </c>
      <c r="M24" s="5" t="s">
        <v>304</v>
      </c>
      <c r="N24" s="5" t="s">
        <v>305</v>
      </c>
      <c r="O24" s="5" t="s">
        <v>306</v>
      </c>
      <c r="P24" s="5" t="s">
        <v>307</v>
      </c>
      <c r="Q24" s="5" t="s">
        <v>308</v>
      </c>
      <c r="R24" s="5" t="s">
        <v>309</v>
      </c>
    </row>
    <row r="25" ht="42" customHeight="1" spans="1:18">
      <c r="A25" s="5">
        <v>4</v>
      </c>
      <c r="B25" s="5" t="s">
        <v>288</v>
      </c>
      <c r="C25" s="5" t="s">
        <v>310</v>
      </c>
      <c r="D25" s="5" t="s">
        <v>311</v>
      </c>
      <c r="E25" s="5" t="s">
        <v>312</v>
      </c>
      <c r="F25" s="5" t="s">
        <v>313</v>
      </c>
      <c r="G25" s="6">
        <v>46270</v>
      </c>
      <c r="H25" s="6">
        <v>46277</v>
      </c>
      <c r="I25" s="5" t="s">
        <v>7</v>
      </c>
      <c r="J25" s="5" t="s">
        <v>13</v>
      </c>
      <c r="K25" s="5" t="s">
        <v>73</v>
      </c>
      <c r="L25" s="5" t="s">
        <v>314</v>
      </c>
      <c r="M25" s="5" t="s">
        <v>315</v>
      </c>
      <c r="N25" s="5" t="s">
        <v>316</v>
      </c>
      <c r="O25" s="5" t="s">
        <v>317</v>
      </c>
      <c r="P25" s="5" t="s">
        <v>318</v>
      </c>
      <c r="Q25" s="5" t="s">
        <v>319</v>
      </c>
      <c r="R25" s="5" t="s">
        <v>320</v>
      </c>
    </row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ht="42" customHeight="1"/>
    <row r="98" ht="42" customHeight="1"/>
    <row r="99" ht="42" customHeight="1"/>
    <row r="100" ht="42" customHeight="1"/>
    <row r="101" ht="42" customHeight="1"/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  <row r="110" ht="42" customHeight="1"/>
    <row r="111" ht="42" customHeight="1"/>
    <row r="112" ht="42" customHeight="1"/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42" customHeight="1"/>
    <row r="120" ht="42" customHeight="1"/>
    <row r="121" ht="42" customHeight="1"/>
    <row r="122" ht="42" customHeight="1"/>
    <row r="123" ht="42" customHeight="1"/>
    <row r="124" ht="42" customHeight="1"/>
    <row r="125" ht="42" customHeight="1"/>
    <row r="126" ht="42" customHeight="1"/>
    <row r="127" ht="42" customHeight="1"/>
    <row r="128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ht="42" customHeight="1"/>
    <row r="146" ht="42" customHeight="1"/>
    <row r="147" ht="42" customHeight="1"/>
    <row r="148" ht="42" customHeight="1"/>
    <row r="149" ht="42" customHeight="1"/>
    <row r="150" ht="42" customHeight="1"/>
    <row r="151" ht="42" customHeight="1"/>
    <row r="152" ht="42" customHeight="1"/>
    <row r="153" ht="42" customHeight="1"/>
    <row r="154" ht="42" customHeight="1"/>
    <row r="155" ht="42" customHeight="1"/>
    <row r="156" ht="42" customHeight="1"/>
    <row r="157" ht="42" customHeight="1"/>
    <row r="158" ht="42" customHeight="1"/>
    <row r="159" ht="42" customHeight="1"/>
    <row r="160" ht="42" customHeight="1"/>
    <row r="161" ht="42" customHeight="1"/>
    <row r="162" ht="42" customHeight="1"/>
    <row r="163" ht="42" customHeight="1"/>
    <row r="164" ht="42" customHeight="1"/>
    <row r="165" ht="42" customHeight="1"/>
    <row r="166" ht="42" customHeight="1"/>
    <row r="167" ht="42" customHeight="1"/>
    <row r="168" ht="42" customHeight="1"/>
    <row r="169" ht="42" customHeight="1"/>
    <row r="170" ht="42" customHeight="1"/>
    <row r="171" ht="42" customHeight="1"/>
    <row r="172" ht="42" customHeight="1"/>
    <row r="173" ht="42" customHeight="1"/>
    <row r="174" ht="42" customHeight="1"/>
    <row r="175" ht="42" customHeight="1"/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  <row r="185" ht="42" customHeight="1"/>
    <row r="186" ht="42" customHeight="1"/>
    <row r="187" ht="42" customHeight="1"/>
    <row r="188" ht="42" customHeight="1"/>
    <row r="189" ht="42" customHeight="1"/>
    <row r="190" ht="42" customHeight="1"/>
    <row r="191" ht="42" customHeight="1"/>
    <row r="19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</sheetData>
  <conditionalFormatting sqref="I2:I25">
    <cfRule type="expression" dxfId="0" priority="1">
      <formula>I2="Done"</formula>
    </cfRule>
    <cfRule type="expression" dxfId="1" priority="2">
      <formula>I2="In Progress"</formula>
    </cfRule>
    <cfRule type="expression" dxfId="2" priority="3">
      <formula>I2="Blocked"</formula>
    </cfRule>
  </conditionalFormatting>
  <conditionalFormatting sqref="J2:J25">
    <cfRule type="expression" dxfId="3" priority="4">
      <formula>J2="Critical"</formula>
    </cfRule>
    <cfRule type="expression" dxfId="4" priority="5">
      <formula>J2="High"</formula>
    </cfRule>
  </conditionalFormatting>
  <dataValidations count="3">
    <dataValidation type="list" sqref="A2:A25">
      <formula1>Lists!$C$2:$C$6</formula1>
    </dataValidation>
    <dataValidation type="list" sqref="I2:I25">
      <formula1>Lists!$A$2:$A$7</formula1>
    </dataValidation>
    <dataValidation type="list" sqref="J2:J25">
      <formula1>Lists!$B$2:$B$5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"/>
    </sheetView>
  </sheetViews>
  <sheetFormatPr defaultColWidth="9" defaultRowHeight="13.8" outlineLevelCol="3"/>
  <cols>
    <col min="1" max="1" width="22" customWidth="1"/>
    <col min="2" max="2" width="52" customWidth="1"/>
    <col min="3" max="3" width="24" customWidth="1"/>
    <col min="4" max="4" width="34" customWidth="1"/>
  </cols>
  <sheetData>
    <row r="1" ht="30" customHeight="1" spans="1:4">
      <c r="A1" s="2" t="s">
        <v>321</v>
      </c>
      <c r="B1" s="2" t="s">
        <v>322</v>
      </c>
      <c r="C1" s="2" t="s">
        <v>323</v>
      </c>
      <c r="D1" s="2" t="s">
        <v>324</v>
      </c>
    </row>
    <row r="2" ht="42" customHeight="1" spans="1:4">
      <c r="A2" s="3" t="s">
        <v>2</v>
      </c>
      <c r="B2" s="3" t="s">
        <v>325</v>
      </c>
      <c r="C2" s="3" t="s">
        <v>326</v>
      </c>
      <c r="D2" s="3" t="s">
        <v>327</v>
      </c>
    </row>
    <row r="3" ht="42" customHeight="1" spans="1:4">
      <c r="A3" s="3" t="s">
        <v>51</v>
      </c>
      <c r="B3" s="3" t="s">
        <v>328</v>
      </c>
      <c r="C3" s="3" t="s">
        <v>329</v>
      </c>
      <c r="D3" s="3" t="s">
        <v>100</v>
      </c>
    </row>
    <row r="4" ht="42" customHeight="1" spans="1:4">
      <c r="A4" s="3" t="s">
        <v>52</v>
      </c>
      <c r="B4" s="3" t="s">
        <v>330</v>
      </c>
      <c r="C4" s="3" t="s">
        <v>331</v>
      </c>
      <c r="D4" s="3" t="s">
        <v>131</v>
      </c>
    </row>
    <row r="5" ht="42" customHeight="1" spans="1:4">
      <c r="A5" s="3" t="s">
        <v>53</v>
      </c>
      <c r="B5" s="3" t="s">
        <v>332</v>
      </c>
      <c r="C5" s="3" t="s">
        <v>333</v>
      </c>
      <c r="D5" s="3" t="s">
        <v>132</v>
      </c>
    </row>
    <row r="6" ht="42" customHeight="1" spans="1:4">
      <c r="A6" s="3" t="s">
        <v>58</v>
      </c>
      <c r="B6" s="3" t="s">
        <v>334</v>
      </c>
      <c r="C6" s="3" t="s">
        <v>335</v>
      </c>
      <c r="D6" s="3" t="s">
        <v>6</v>
      </c>
    </row>
    <row r="7" ht="42" customHeight="1" spans="1:4">
      <c r="A7" s="3" t="s">
        <v>59</v>
      </c>
      <c r="B7" s="3" t="s">
        <v>336</v>
      </c>
      <c r="C7" s="3" t="s">
        <v>337</v>
      </c>
      <c r="D7" s="3" t="s">
        <v>13</v>
      </c>
    </row>
    <row r="8" ht="42" customHeight="1" spans="1:4">
      <c r="A8" s="3" t="s">
        <v>61</v>
      </c>
      <c r="B8" s="3" t="s">
        <v>338</v>
      </c>
      <c r="C8" s="3" t="s">
        <v>339</v>
      </c>
      <c r="D8" s="3" t="s">
        <v>340</v>
      </c>
    </row>
    <row r="9" ht="42" customHeight="1" spans="1:4">
      <c r="A9" s="3" t="s">
        <v>63</v>
      </c>
      <c r="B9" s="3" t="s">
        <v>341</v>
      </c>
      <c r="C9" s="3" t="s">
        <v>342</v>
      </c>
      <c r="D9" s="3" t="s">
        <v>343</v>
      </c>
    </row>
    <row r="10" ht="42" customHeight="1" spans="1:4">
      <c r="A10" s="3" t="s">
        <v>64</v>
      </c>
      <c r="B10" s="3" t="s">
        <v>344</v>
      </c>
      <c r="C10" s="3" t="s">
        <v>345</v>
      </c>
      <c r="D10" s="3" t="s">
        <v>346</v>
      </c>
    </row>
    <row r="11" ht="42" customHeight="1" spans="1:4">
      <c r="A11" s="3" t="s">
        <v>66</v>
      </c>
      <c r="B11" s="3" t="s">
        <v>347</v>
      </c>
      <c r="C11" s="3" t="s">
        <v>348</v>
      </c>
      <c r="D11" s="3" t="s">
        <v>349</v>
      </c>
    </row>
    <row r="12" ht="42" customHeight="1"/>
    <row r="13" ht="42" customHeight="1"/>
    <row r="14" ht="42" customHeight="1"/>
    <row r="15" ht="42" customHeight="1"/>
    <row r="16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  <row r="23" ht="42" customHeight="1"/>
    <row r="24" ht="42" customHeight="1"/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  <row r="57" ht="42" customHeight="1"/>
    <row r="58" ht="42" customHeight="1"/>
    <row r="59" ht="42" customHeight="1"/>
    <row r="60" ht="42" customHeight="1"/>
    <row r="61" ht="42" customHeight="1"/>
    <row r="62" ht="42" customHeight="1"/>
    <row r="63" ht="42" customHeight="1"/>
    <row r="64" ht="42" customHeight="1"/>
    <row r="65" ht="42" customHeight="1"/>
    <row r="66" ht="42" customHeight="1"/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42" customHeight="1"/>
    <row r="76" ht="42" customHeight="1"/>
    <row r="77" ht="42" customHeight="1"/>
    <row r="78" ht="42" customHeight="1"/>
    <row r="79" ht="42" customHeight="1"/>
    <row r="80" ht="42" customHeight="1"/>
    <row r="81" ht="42" customHeight="1"/>
    <row r="82" ht="42" customHeight="1"/>
    <row r="83" ht="42" customHeight="1"/>
    <row r="84" ht="42" customHeight="1"/>
    <row r="85" ht="42" customHeight="1"/>
    <row r="86" ht="42" customHeight="1"/>
    <row r="87" ht="42" customHeight="1"/>
    <row r="88" ht="42" customHeight="1"/>
    <row r="89" ht="42" customHeight="1"/>
    <row r="90" ht="42" customHeight="1"/>
    <row r="91" ht="42" customHeight="1"/>
    <row r="92" ht="42" customHeight="1"/>
    <row r="93" ht="42" customHeight="1"/>
    <row r="94" ht="42" customHeight="1"/>
    <row r="95" ht="42" customHeight="1"/>
    <row r="96" ht="42" customHeight="1"/>
    <row r="97" ht="42" customHeight="1"/>
    <row r="98" ht="42" customHeight="1"/>
    <row r="99" ht="42" customHeight="1"/>
    <row r="100" ht="42" customHeight="1"/>
    <row r="101" ht="42" customHeight="1"/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  <row r="110" ht="42" customHeight="1"/>
    <row r="111" ht="42" customHeight="1"/>
    <row r="112" ht="42" customHeight="1"/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42" customHeight="1"/>
    <row r="120" ht="42" customHeight="1"/>
    <row r="121" ht="42" customHeight="1"/>
    <row r="122" ht="42" customHeight="1"/>
    <row r="123" ht="42" customHeight="1"/>
    <row r="124" ht="42" customHeight="1"/>
    <row r="125" ht="42" customHeight="1"/>
    <row r="126" ht="42" customHeight="1"/>
    <row r="127" ht="42" customHeight="1"/>
    <row r="128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ht="42" customHeight="1"/>
    <row r="146" ht="42" customHeight="1"/>
    <row r="147" ht="42" customHeight="1"/>
    <row r="148" ht="42" customHeight="1"/>
    <row r="149" ht="42" customHeight="1"/>
    <row r="150" ht="42" customHeight="1"/>
    <row r="151" ht="42" customHeight="1"/>
    <row r="152" ht="42" customHeight="1"/>
    <row r="153" ht="42" customHeight="1"/>
    <row r="154" ht="42" customHeight="1"/>
    <row r="155" ht="42" customHeight="1"/>
    <row r="156" ht="42" customHeight="1"/>
    <row r="157" ht="42" customHeight="1"/>
    <row r="158" ht="42" customHeight="1"/>
    <row r="159" ht="42" customHeight="1"/>
    <row r="160" ht="42" customHeight="1"/>
    <row r="161" ht="42" customHeight="1"/>
    <row r="162" ht="42" customHeight="1"/>
    <row r="163" ht="42" customHeight="1"/>
    <row r="164" ht="42" customHeight="1"/>
    <row r="165" ht="42" customHeight="1"/>
    <row r="166" ht="42" customHeight="1"/>
    <row r="167" ht="42" customHeight="1"/>
    <row r="168" ht="42" customHeight="1"/>
    <row r="169" ht="42" customHeight="1"/>
    <row r="170" ht="42" customHeight="1"/>
    <row r="171" ht="42" customHeight="1"/>
    <row r="172" ht="42" customHeight="1"/>
    <row r="173" ht="42" customHeight="1"/>
    <row r="174" ht="42" customHeight="1"/>
    <row r="175" ht="42" customHeight="1"/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  <row r="185" ht="42" customHeight="1"/>
    <row r="186" ht="42" customHeight="1"/>
    <row r="187" ht="42" customHeight="1"/>
    <row r="188" ht="42" customHeight="1"/>
    <row r="189" ht="42" customHeight="1"/>
    <row r="190" ht="42" customHeight="1"/>
    <row r="191" ht="42" customHeight="1"/>
    <row r="19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8" outlineLevelRow="6" outlineLevelCol="4"/>
  <cols>
    <col min="1" max="5" width="18" customWidth="1"/>
  </cols>
  <sheetData>
    <row r="1" spans="1:5">
      <c r="A1" s="1" t="s">
        <v>58</v>
      </c>
      <c r="B1" s="1" t="s">
        <v>59</v>
      </c>
      <c r="C1" s="1" t="s">
        <v>2</v>
      </c>
      <c r="D1" s="1" t="s">
        <v>60</v>
      </c>
      <c r="E1" s="1" t="s">
        <v>350</v>
      </c>
    </row>
    <row r="2" spans="1:5">
      <c r="A2" t="s">
        <v>7</v>
      </c>
      <c r="B2" t="s">
        <v>13</v>
      </c>
      <c r="C2">
        <v>0</v>
      </c>
      <c r="D2" t="s">
        <v>351</v>
      </c>
      <c r="E2" t="s">
        <v>352</v>
      </c>
    </row>
    <row r="3" spans="1:5">
      <c r="A3" t="s">
        <v>6</v>
      </c>
      <c r="B3" t="s">
        <v>72</v>
      </c>
      <c r="C3">
        <v>1</v>
      </c>
      <c r="D3" t="s">
        <v>353</v>
      </c>
      <c r="E3" t="s">
        <v>354</v>
      </c>
    </row>
    <row r="4" spans="1:5">
      <c r="A4" t="s">
        <v>5</v>
      </c>
      <c r="B4" t="s">
        <v>146</v>
      </c>
      <c r="C4">
        <v>2</v>
      </c>
      <c r="D4" t="s">
        <v>355</v>
      </c>
      <c r="E4" t="s">
        <v>356</v>
      </c>
    </row>
    <row r="5" spans="1:5">
      <c r="A5" t="s">
        <v>8</v>
      </c>
      <c r="B5" t="s">
        <v>357</v>
      </c>
      <c r="C5">
        <v>3</v>
      </c>
      <c r="D5" t="s">
        <v>358</v>
      </c>
      <c r="E5" t="s">
        <v>359</v>
      </c>
    </row>
    <row r="6" spans="1:5">
      <c r="A6" t="s">
        <v>360</v>
      </c>
      <c r="C6">
        <v>4</v>
      </c>
      <c r="D6" t="s">
        <v>359</v>
      </c>
      <c r="E6" t="s">
        <v>361</v>
      </c>
    </row>
    <row r="7" spans="1:5">
      <c r="A7" t="s">
        <v>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Experiment_Index</vt:lpstr>
      <vt:lpstr>字段说明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予安</cp:lastModifiedBy>
  <dcterms:created xsi:type="dcterms:W3CDTF">2026-06-30T08:07:01Z</dcterms:created>
  <dcterms:modified xsi:type="dcterms:W3CDTF">2026-06-30T08:10:10Z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359CE883AF3648539C29EC4BD3F11C37_12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